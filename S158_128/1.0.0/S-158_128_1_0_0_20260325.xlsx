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b061450\source\GitHub\IHO\S-128-Product-Specification-Development\S158_128\1.0.0\"/>
    </mc:Choice>
  </mc:AlternateContent>
  <xr:revisionPtr revIDLastSave="0" documentId="13_ncr:1_{76EF4BB4-FBDD-4D5B-936A-EDD92FAE5E96}" xr6:coauthVersionLast="47" xr6:coauthVersionMax="47" xr10:uidLastSave="{00000000-0000-0000-0000-000000000000}"/>
  <bookViews>
    <workbookView xWindow="11505" yWindow="1920" windowWidth="24120" windowHeight="17190" tabRatio="647" activeTab="1" xr2:uid="{00000000-000D-0000-FFFF-FFFF00000000}"/>
  </bookViews>
  <sheets>
    <sheet name="S128ValidationChecks metadata" sheetId="11" r:id="rId1"/>
    <sheet name="S128Checks" sheetId="10" r:id="rId2"/>
    <sheet name="DeletedS128Checks" sheetId="12" r:id="rId3"/>
  </sheets>
  <externalReferences>
    <externalReference r:id="rId4"/>
  </externalReferences>
  <definedNames>
    <definedName name="_xlnm._FilterDatabase" localSheetId="2" hidden="1">DeletedS128Checks!$A$1:$K$31</definedName>
    <definedName name="_xlnm._FilterDatabase" localSheetId="1" hidden="1">S128Checks!$K$1:$K$18</definedName>
    <definedName name="S101_Disposition">[1]Lists!$A$1:$A$3</definedName>
  </definedNames>
  <calcPr calcId="191029" iterate="1" iterateCount="100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0" l="1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A2" i="12" a="1"/>
  <c r="A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<sst xmlns="http://schemas.openxmlformats.org/spreadsheetml/2006/main" count="200" uniqueCount="126">
  <si>
    <t>Document Number</t>
  </si>
  <si>
    <t>Title</t>
  </si>
  <si>
    <t>Document Type</t>
  </si>
  <si>
    <t>Standard</t>
  </si>
  <si>
    <t>Document Stage</t>
  </si>
  <si>
    <t xml:space="preserve"> Edition(x.x)</t>
  </si>
  <si>
    <t>Issued-date</t>
  </si>
  <si>
    <t>Copyright Year</t>
  </si>
  <si>
    <t>Committee</t>
  </si>
  <si>
    <t>HSSC</t>
  </si>
  <si>
    <t>WG/PT</t>
  </si>
  <si>
    <t>Based</t>
  </si>
  <si>
    <t>Applied without revision</t>
  </si>
  <si>
    <t>Compliant Standard</t>
  </si>
  <si>
    <t>Dev ID</t>
  </si>
  <si>
    <t>Check ID</t>
  </si>
  <si>
    <t>Classification</t>
  </si>
  <si>
    <t xml:space="preserve">Check Message </t>
  </si>
  <si>
    <t>Check Description</t>
  </si>
  <si>
    <t xml:space="preserve">Check Solution </t>
  </si>
  <si>
    <t>Standards document reference</t>
  </si>
  <si>
    <t>Clause reference</t>
  </si>
  <si>
    <t>Introduced</t>
  </si>
  <si>
    <t>Modified</t>
  </si>
  <si>
    <t>Deleted</t>
  </si>
  <si>
    <t>PS</t>
  </si>
  <si>
    <t>2.0.0</t>
  </si>
  <si>
    <t>Draft</t>
  </si>
  <si>
    <t>Ed.2.0.0</t>
  </si>
  <si>
    <t>S-100</t>
  </si>
  <si>
    <t>Ed. 5.2.0</t>
  </si>
  <si>
    <t>1.0.0</t>
  </si>
  <si>
    <t>For each feature object with an attribute of type Float or Integer where the value contains zeroes before the first numerical digit or after the last numerical digit.</t>
  </si>
  <si>
    <t>For each fixedDateRange where dateEnd or dateStart is not Null but the year component is not specified.</t>
  </si>
  <si>
    <t>Year is required in fixedDateRange dates.</t>
  </si>
  <si>
    <t>ContactDetails not populated with meaningful information.</t>
  </si>
  <si>
    <t>Values for file reference and locator combinations are identical.</t>
  </si>
  <si>
    <t xml:space="preserve">Remove non-significant zeroes. </t>
  </si>
  <si>
    <t>Remove duplicate value from geo object.</t>
  </si>
  <si>
    <t>Ensure that national language attributes are populated with the correct values.</t>
  </si>
  <si>
    <t>Split the dataset along the 180° meridian.</t>
  </si>
  <si>
    <t>Populate year component of dateStart and dateEnd</t>
  </si>
  <si>
    <t>B, S</t>
  </si>
  <si>
    <t>B, U</t>
  </si>
  <si>
    <t>Apply To</t>
  </si>
  <si>
    <t>Remarks</t>
  </si>
  <si>
    <t>For each feature object with an attribute value identical to a corresponding attribute of a meta object it is COVERED_BY.</t>
  </si>
  <si>
    <t>For each feature instance where textContent attribute is present, and two or more information subAttributes are present, and the text subattributes are equal</t>
  </si>
  <si>
    <t>For each feature instance where textContent attribute is present, and two or more information subAttributes are present, and the fileLocator  subattributes are equal</t>
  </si>
  <si>
    <t>For each instance of a dataset, present in the exchange set and that does not have dataset discovery metadata.</t>
  </si>
  <si>
    <t>For each instance of a support file, present in the exchange set and that does not have support file discovery metadata.</t>
  </si>
  <si>
    <t>For each feature instance, which CROSS the 180° meridian.</t>
  </si>
  <si>
    <t>For each fixedDateRange where both dateEnd and dateStart are omitted or Null</t>
  </si>
  <si>
    <t>For each ContactDetails without at least one non-Null attribute</t>
  </si>
  <si>
    <t>An attribute value of a meta object is duplicated on a geo object.</t>
  </si>
  <si>
    <t>Dataset discovery metadata is missing for dataset</t>
  </si>
  <si>
    <t>Support file discovery metadata is missing for support file.</t>
  </si>
  <si>
    <t>Data crossing the 180° meridian</t>
  </si>
  <si>
    <t>FixedDateRange not Populated making the attribute meaningless.</t>
  </si>
  <si>
    <t xml:space="preserve">Change character encoding to UTF-8 </t>
  </si>
  <si>
    <t>Ensure that text subattributes are populated with the correct values.</t>
  </si>
  <si>
    <t>Add dataset discovery metadata</t>
  </si>
  <si>
    <t>Support file discovery metadata</t>
  </si>
  <si>
    <t>Populate at least one of dateEnd or dateStart</t>
  </si>
  <si>
    <t>Populate at least one attribute of ContactDetails</t>
  </si>
  <si>
    <t>N/A</t>
  </si>
  <si>
    <t>If the srsName values encoded in the dataset are different from http://www.opengis.net/def/crs/EPSG/0/4326</t>
  </si>
  <si>
    <t>W</t>
  </si>
  <si>
    <t>For each catalogue in the exchange set for which there is no discovery metadata  in the exchange catalogue</t>
  </si>
  <si>
    <t>No discovery metadata for catalogue.</t>
  </si>
  <si>
    <t>Add discovery metadata to exchange catalogue or remove catalogue from exchange set.</t>
  </si>
  <si>
    <t>C</t>
  </si>
  <si>
    <t>E</t>
  </si>
  <si>
    <t>Character encoding for text must be UTF-8.</t>
  </si>
  <si>
    <t>Values for “text” sub-attribute of “information” are identical.</t>
  </si>
  <si>
    <t>Different languages information refers to the same external file and its fragment.</t>
  </si>
  <si>
    <t>Replace with the correct fileLocator and fileReference combination.</t>
  </si>
  <si>
    <t>Horizontal CRS is not EPSG 4326.</t>
  </si>
  <si>
    <t>Set the horizontal CRS to EPSG 4326 using the OGC URI convention.</t>
  </si>
  <si>
    <t>Values have been padded with non-significant zeroes.</t>
  </si>
  <si>
    <t>B,U</t>
  </si>
  <si>
    <t>Repeated attribute value</t>
  </si>
  <si>
    <t>For each attribute with the same values as another instance of the same attribute bound to the same feature, information type, or complex attribute</t>
  </si>
  <si>
    <t>Evaluate necessity for repetition and consider deletion of repeated instance</t>
  </si>
  <si>
    <t>B,U,S</t>
  </si>
  <si>
    <t>Nilled attribute code populated with non-nil code value</t>
  </si>
  <si>
    <t>For each nillable enumeration or codelist attribute where xsi:nil=true but attribute code is present and populated with a value &gt; 0</t>
  </si>
  <si>
    <t>Amend value of code or remove nilling</t>
  </si>
  <si>
    <t>B.U</t>
  </si>
  <si>
    <t>Nilled attribute without nilReason populated</t>
  </si>
  <si>
    <t>For each nilled attribute without nilReason populated</t>
  </si>
  <si>
    <t>Populate nilReason for nilled attributes</t>
  </si>
  <si>
    <t>Metadata of S-128 Validation Check Specification</t>
  </si>
  <si>
    <t>S-158:128</t>
  </si>
  <si>
    <t>CATALOGUE OF NAUTICAL PRODUCTS VALIDATION CHECKS</t>
  </si>
  <si>
    <t>NIPWG/S-128 TASK GROUP</t>
  </si>
  <si>
    <t>S-128 PS</t>
  </si>
  <si>
    <t>S-128 DCEG</t>
  </si>
  <si>
    <t>S-128 FC</t>
  </si>
  <si>
    <t>10.3</t>
  </si>
  <si>
    <t>4.3.2.2; 4.1</t>
  </si>
  <si>
    <t>10.4</t>
  </si>
  <si>
    <t>5.1, 10.2</t>
  </si>
  <si>
    <t>11.4</t>
  </si>
  <si>
    <t>10.7</t>
  </si>
  <si>
    <t>11.2.1.1</t>
  </si>
  <si>
    <t>12.2.1</t>
  </si>
  <si>
    <t>Text field is not encoded using UTF-8</t>
  </si>
  <si>
    <r>
      <t xml:space="preserve">For each feature, information type or complex attribute where two or more </t>
    </r>
    <r>
      <rPr>
        <i/>
        <sz val="10"/>
        <rFont val="Calibri"/>
        <family val="2"/>
        <scheme val="minor"/>
      </rPr>
      <t>information</t>
    </r>
    <r>
      <rPr>
        <sz val="10"/>
        <rFont val="Calibri"/>
        <family val="2"/>
        <scheme val="minor"/>
      </rPr>
      <t xml:space="preserve"> complex attributes are present AND they have different language value AND identical pair of  notNull values of the sub-attributes fileLocator and fileReference.</t>
    </r>
  </si>
  <si>
    <t>128_ED1_101</t>
  </si>
  <si>
    <t>128_ED1_102</t>
  </si>
  <si>
    <t>128_ED1_103</t>
  </si>
  <si>
    <t>128_ED1_104</t>
  </si>
  <si>
    <t>128_ED1_105</t>
  </si>
  <si>
    <t>128_ED1_106</t>
  </si>
  <si>
    <t>128_ED1_107</t>
  </si>
  <si>
    <t>128_ED1_108</t>
  </si>
  <si>
    <t>128_ED1_109</t>
  </si>
  <si>
    <t>128_ED1_110</t>
  </si>
  <si>
    <t>128_ED1_111</t>
  </si>
  <si>
    <t>128_ED1_112</t>
  </si>
  <si>
    <t>128_ED1_113</t>
  </si>
  <si>
    <t>128_ED1_114</t>
  </si>
  <si>
    <t>128_ED1_115</t>
  </si>
  <si>
    <t>128_ED1_116</t>
  </si>
  <si>
    <t>128_ED1_117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</si>
</sst>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yyyy/mm/dd;@"/>
  </numFmts>
  <fonts count="14">
    <font>
      <sz val="11"/>
      <color theme="1"/>
      <name val="Calibri"/>
      <charset val="134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9" tint="-0.24997711111789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color theme="9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5" fillId="4" borderId="7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3" fillId="3" borderId="0" xfId="0" applyFont="1" applyFill="1"/>
    <xf numFmtId="0" fontId="6" fillId="3" borderId="0" xfId="0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5" fillId="5" borderId="7" xfId="0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6" fillId="3" borderId="8" xfId="0" applyFont="1" applyFill="1" applyBorder="1"/>
    <xf numFmtId="0" fontId="6" fillId="3" borderId="9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9" xfId="0" applyFont="1" applyFill="1" applyBorder="1"/>
    <xf numFmtId="0" fontId="3" fillId="3" borderId="0" xfId="0" applyFont="1" applyFill="1" applyAlignment="1">
      <alignment horizontal="left"/>
    </xf>
    <xf numFmtId="0" fontId="3" fillId="3" borderId="11" xfId="0" applyFont="1" applyFill="1" applyBorder="1" applyAlignment="1">
      <alignment horizontal="right" vertical="center"/>
    </xf>
    <xf numFmtId="0" fontId="3" fillId="3" borderId="12" xfId="0" applyFont="1" applyFill="1" applyBorder="1" applyAlignment="1">
      <alignment horizontal="right"/>
    </xf>
    <xf numFmtId="0" fontId="3" fillId="3" borderId="12" xfId="0" applyFont="1" applyFill="1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3" borderId="14" xfId="0" applyFont="1" applyFill="1" applyBorder="1"/>
    <xf numFmtId="0" fontId="5" fillId="6" borderId="0" xfId="0" applyFont="1" applyFill="1"/>
    <xf numFmtId="0" fontId="6" fillId="3" borderId="0" xfId="0" applyFont="1" applyFill="1"/>
    <xf numFmtId="0" fontId="6" fillId="3" borderId="9" xfId="0" applyFont="1" applyFill="1" applyBorder="1"/>
    <xf numFmtId="0" fontId="6" fillId="3" borderId="10" xfId="0" applyFont="1" applyFill="1" applyBorder="1"/>
    <xf numFmtId="0" fontId="3" fillId="3" borderId="15" xfId="0" applyFont="1" applyFill="1" applyBorder="1"/>
    <xf numFmtId="49" fontId="9" fillId="3" borderId="0" xfId="0" applyNumberFormat="1" applyFont="1" applyFill="1" applyAlignment="1">
      <alignment horizontal="center"/>
    </xf>
    <xf numFmtId="0" fontId="9" fillId="3" borderId="8" xfId="0" applyFont="1" applyFill="1" applyBorder="1"/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0" fillId="0" borderId="0" xfId="0" applyFont="1"/>
    <xf numFmtId="0" fontId="10" fillId="9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3" borderId="10" xfId="0" applyFont="1" applyFill="1" applyBorder="1" applyAlignment="1">
      <alignment horizontal="left"/>
    </xf>
    <xf numFmtId="0" fontId="9" fillId="3" borderId="0" xfId="0" applyFont="1" applyFill="1"/>
    <xf numFmtId="0" fontId="10" fillId="0" borderId="3" xfId="0" applyFont="1" applyBorder="1" applyAlignment="1">
      <alignment horizontal="left" vertical="center" wrapText="1"/>
    </xf>
    <xf numFmtId="49" fontId="10" fillId="0" borderId="3" xfId="1" applyNumberFormat="1" applyFont="1" applyFill="1" applyBorder="1" applyAlignment="1">
      <alignment horizontal="left" vertical="center" wrapText="1"/>
    </xf>
    <xf numFmtId="0" fontId="10" fillId="0" borderId="18" xfId="0" applyFont="1" applyBorder="1" applyAlignment="1">
      <alignment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0" fillId="2" borderId="2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justify" vertical="center" wrapText="1"/>
    </xf>
    <xf numFmtId="0" fontId="12" fillId="10" borderId="19" xfId="0" applyFont="1" applyFill="1" applyBorder="1" applyAlignment="1">
      <alignment horizontal="justify" vertical="center" wrapText="1"/>
    </xf>
    <xf numFmtId="0" fontId="12" fillId="10" borderId="18" xfId="0" applyFont="1" applyFill="1" applyBorder="1" applyAlignment="1">
      <alignment horizontal="left" vertical="center" wrapText="1"/>
    </xf>
    <xf numFmtId="0" fontId="12" fillId="10" borderId="19" xfId="0" applyFont="1" applyFill="1" applyBorder="1" applyAlignment="1">
      <alignment horizontal="left" vertical="center" wrapText="1"/>
    </xf>
    <xf numFmtId="0" fontId="12" fillId="10" borderId="20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vertical="center" wrapText="1"/>
    </xf>
    <xf numFmtId="0" fontId="11" fillId="10" borderId="19" xfId="0" applyFont="1" applyFill="1" applyBorder="1" applyAlignment="1">
      <alignment horizontal="justify" vertical="center" wrapText="1"/>
    </xf>
    <xf numFmtId="0" fontId="11" fillId="9" borderId="0" xfId="0" applyFont="1" applyFill="1" applyAlignment="1">
      <alignment wrapText="1"/>
    </xf>
    <xf numFmtId="0" fontId="10" fillId="0" borderId="2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8" xfId="1" applyFont="1" applyFill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 wrapText="1"/>
    </xf>
    <xf numFmtId="49" fontId="10" fillId="0" borderId="18" xfId="1" applyNumberFormat="1" applyFont="1" applyFill="1" applyBorder="1" applyAlignment="1">
      <alignment horizontal="left" vertical="center" wrapText="1"/>
    </xf>
    <xf numFmtId="0" fontId="10" fillId="0" borderId="18" xfId="2" applyFont="1" applyFill="1" applyBorder="1" applyAlignment="1">
      <alignment horizontal="left" vertical="center" wrapText="1"/>
    </xf>
    <xf numFmtId="0" fontId="10" fillId="0" borderId="18" xfId="0" applyFont="1" applyBorder="1" applyAlignment="1">
      <alignment horizontal="left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2" borderId="24" xfId="0" applyFont="1" applyFill="1" applyBorder="1" applyAlignment="1">
      <alignment vertical="center" wrapText="1"/>
    </xf>
    <xf numFmtId="0" fontId="10" fillId="9" borderId="24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justify" vertical="center"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10" borderId="19" xfId="0" applyFont="1" applyFill="1" applyBorder="1" applyAlignment="1">
      <alignment horizontal="justify" vertical="center" wrapText="1"/>
    </xf>
    <xf numFmtId="0" fontId="10" fillId="0" borderId="26" xfId="0" applyFont="1" applyBorder="1" applyAlignment="1">
      <alignment wrapText="1"/>
    </xf>
    <xf numFmtId="0" fontId="1" fillId="0" borderId="26" xfId="0" applyFont="1" applyBorder="1"/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10" borderId="19" xfId="0" applyFont="1" applyFill="1" applyBorder="1" applyAlignment="1">
      <alignment horizontal="justify" vertical="top" wrapText="1"/>
    </xf>
    <xf numFmtId="0" fontId="1" fillId="0" borderId="18" xfId="1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10" borderId="1" xfId="0" applyFont="1" applyFill="1" applyBorder="1" applyAlignment="1">
      <alignment horizontal="justify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8" xfId="2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10" borderId="18" xfId="0" applyFont="1" applyFill="1" applyBorder="1" applyAlignment="1">
      <alignment horizontal="justify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10" borderId="27" xfId="0" applyFont="1" applyFill="1" applyBorder="1" applyAlignment="1">
      <alignment horizontal="justify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left" vertical="top" wrapText="1"/>
    </xf>
    <xf numFmtId="0" fontId="1" fillId="10" borderId="28" xfId="0" applyFont="1" applyFill="1" applyBorder="1" applyAlignment="1">
      <alignment horizontal="justify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28" xfId="0" applyFont="1" applyBorder="1" applyAlignment="1">
      <alignment vertical="top"/>
    </xf>
    <xf numFmtId="0" fontId="1" fillId="0" borderId="28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2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right" vertical="center"/>
    </xf>
  </cellXfs>
  <cellStyles count="3">
    <cellStyle name="Good" xfId="2" builtinId="26"/>
    <cellStyle name="Neutral 2" xfId="1" xr:uid="{00000000-0005-0000-0000-00001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ydrographic-my.sharepoint.com/home/msa/&#26700;&#38754;/Users/thomas.richardson/AppData/Local/Microsoft/Windows/INetCache/Content.Outlook/082HU1HA/S101_ValidationCheck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v1"/>
      <sheetName val="Clean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B24" sqref="B24"/>
    </sheetView>
  </sheetViews>
  <sheetFormatPr defaultColWidth="9" defaultRowHeight="15"/>
  <cols>
    <col min="1" max="1" width="4.85546875" customWidth="1"/>
    <col min="2" max="2" width="20.85546875" style="8" customWidth="1"/>
    <col min="3" max="3" width="36.42578125" style="9" customWidth="1"/>
    <col min="4" max="4" width="12.42578125" customWidth="1"/>
    <col min="5" max="6" width="14.7109375" customWidth="1"/>
    <col min="7" max="7" width="6.42578125" customWidth="1"/>
  </cols>
  <sheetData>
    <row r="2" spans="2:8" ht="33.6" customHeight="1">
      <c r="B2" s="121" t="s">
        <v>92</v>
      </c>
      <c r="C2" s="122"/>
      <c r="D2" s="122"/>
      <c r="E2" s="122"/>
      <c r="F2" s="122"/>
      <c r="G2" s="123"/>
      <c r="H2" s="31"/>
    </row>
    <row r="3" spans="2:8" s="7" customFormat="1" ht="20.45" customHeight="1">
      <c r="B3" s="10" t="s">
        <v>0</v>
      </c>
      <c r="C3" s="11" t="s">
        <v>93</v>
      </c>
      <c r="D3" s="12"/>
      <c r="E3" s="12"/>
      <c r="F3" s="12"/>
      <c r="G3" s="32"/>
    </row>
    <row r="4" spans="2:8" s="7" customFormat="1" ht="20.45" customHeight="1">
      <c r="B4" s="10" t="s">
        <v>1</v>
      </c>
      <c r="C4" s="11" t="s">
        <v>94</v>
      </c>
      <c r="D4" s="12"/>
      <c r="E4" s="12"/>
      <c r="F4" s="12"/>
      <c r="G4" s="32"/>
    </row>
    <row r="5" spans="2:8" s="7" customFormat="1" ht="20.45" customHeight="1">
      <c r="B5" s="10" t="s">
        <v>2</v>
      </c>
      <c r="C5" s="11" t="s">
        <v>3</v>
      </c>
      <c r="D5" s="12"/>
      <c r="E5" s="12"/>
      <c r="F5" s="12"/>
      <c r="G5" s="32"/>
    </row>
    <row r="6" spans="2:8" s="7" customFormat="1" ht="20.45" customHeight="1">
      <c r="B6" s="10" t="s">
        <v>4</v>
      </c>
      <c r="C6" s="13" t="s">
        <v>27</v>
      </c>
      <c r="D6" s="12"/>
      <c r="E6" s="12"/>
      <c r="F6" s="12"/>
      <c r="G6" s="32"/>
    </row>
    <row r="7" spans="2:8" s="7" customFormat="1" ht="20.45" customHeight="1">
      <c r="B7" s="10" t="s">
        <v>5</v>
      </c>
      <c r="C7" s="38" t="s">
        <v>31</v>
      </c>
      <c r="D7" s="12"/>
      <c r="E7" s="12"/>
      <c r="F7" s="12"/>
      <c r="G7" s="32"/>
    </row>
    <row r="8" spans="2:8" s="7" customFormat="1" ht="20.45" customHeight="1">
      <c r="B8" s="10" t="s">
        <v>6</v>
      </c>
      <c r="C8" s="14">
        <v>46106</v>
      </c>
      <c r="D8" s="12"/>
      <c r="E8" s="12"/>
      <c r="F8" s="12"/>
      <c r="G8" s="32"/>
    </row>
    <row r="9" spans="2:8" s="7" customFormat="1" ht="20.45" customHeight="1">
      <c r="B9" s="10" t="s">
        <v>7</v>
      </c>
      <c r="C9" s="15">
        <v>46023</v>
      </c>
      <c r="D9" s="12"/>
      <c r="E9" s="12"/>
      <c r="F9" s="12"/>
      <c r="G9" s="32"/>
    </row>
    <row r="10" spans="2:8" s="7" customFormat="1" ht="20.45" customHeight="1">
      <c r="B10" s="10" t="s">
        <v>8</v>
      </c>
      <c r="C10" s="16" t="s">
        <v>9</v>
      </c>
      <c r="D10" s="12"/>
      <c r="E10" s="12"/>
      <c r="F10" s="12"/>
      <c r="G10" s="32"/>
    </row>
    <row r="11" spans="2:8" s="7" customFormat="1" ht="20.45" customHeight="1">
      <c r="B11" s="10" t="s">
        <v>10</v>
      </c>
      <c r="C11" s="13" t="s">
        <v>95</v>
      </c>
      <c r="D11" s="12"/>
      <c r="E11" s="12"/>
      <c r="F11" s="12"/>
      <c r="G11" s="32"/>
    </row>
    <row r="12" spans="2:8" s="7" customFormat="1" ht="15" customHeight="1">
      <c r="B12" s="17"/>
      <c r="C12" s="18" t="s">
        <v>1</v>
      </c>
      <c r="D12" s="19" t="s">
        <v>11</v>
      </c>
      <c r="E12" s="33" t="s">
        <v>12</v>
      </c>
      <c r="F12" s="33"/>
      <c r="G12" s="32"/>
    </row>
    <row r="13" spans="2:8" s="7" customFormat="1" ht="20.45" customHeight="1">
      <c r="B13" s="124" t="s">
        <v>13</v>
      </c>
      <c r="C13" s="11" t="s">
        <v>96</v>
      </c>
      <c r="D13" s="39" t="s">
        <v>28</v>
      </c>
      <c r="E13" s="20"/>
      <c r="F13" s="34"/>
      <c r="G13" s="32"/>
    </row>
    <row r="14" spans="2:8" s="7" customFormat="1" ht="20.45" customHeight="1">
      <c r="B14" s="124"/>
      <c r="C14" s="21" t="s">
        <v>97</v>
      </c>
      <c r="D14" s="39" t="s">
        <v>28</v>
      </c>
      <c r="E14" s="35"/>
      <c r="F14" s="36"/>
      <c r="G14" s="32"/>
    </row>
    <row r="15" spans="2:8" s="7" customFormat="1" ht="20.45" customHeight="1">
      <c r="B15" s="124"/>
      <c r="C15" s="22" t="s">
        <v>98</v>
      </c>
      <c r="D15" s="39" t="s">
        <v>28</v>
      </c>
      <c r="E15" s="34"/>
      <c r="F15" s="35"/>
      <c r="G15" s="32"/>
    </row>
    <row r="16" spans="2:8" s="7" customFormat="1" ht="20.45" customHeight="1">
      <c r="B16" s="124"/>
      <c r="C16" s="49" t="s">
        <v>29</v>
      </c>
      <c r="D16" s="50" t="s">
        <v>30</v>
      </c>
      <c r="E16" s="24"/>
      <c r="F16" s="24"/>
      <c r="G16" s="32"/>
    </row>
    <row r="17" spans="2:7" s="7" customFormat="1" ht="20.45" customHeight="1">
      <c r="B17" s="124"/>
      <c r="C17" s="23"/>
      <c r="D17" s="24"/>
      <c r="E17" s="24"/>
      <c r="F17" s="24"/>
      <c r="G17" s="32"/>
    </row>
    <row r="18" spans="2:7" s="7" customFormat="1" ht="20.45" customHeight="1">
      <c r="B18" s="124"/>
      <c r="C18" s="25"/>
      <c r="D18" s="12"/>
      <c r="E18" s="12"/>
      <c r="F18" s="12"/>
      <c r="G18" s="32"/>
    </row>
    <row r="19" spans="2:7" s="7" customFormat="1" ht="20.45" customHeight="1">
      <c r="B19" s="26"/>
      <c r="C19" s="27"/>
      <c r="D19" s="28"/>
      <c r="E19" s="28"/>
      <c r="F19" s="28"/>
      <c r="G19" s="37"/>
    </row>
    <row r="20" spans="2:7" s="7" customFormat="1" ht="20.45" customHeight="1">
      <c r="B20" s="29"/>
      <c r="C20" s="30"/>
    </row>
  </sheetData>
  <mergeCells count="2">
    <mergeCell ref="B2:G2"/>
    <mergeCell ref="B13:B18"/>
  </mergeCells>
  <dataValidations count="1">
    <dataValidation type="list" allowBlank="1" showInputMessage="1" showErrorMessage="1" sqref="C6" xr:uid="{00000000-0002-0000-0000-000000000000}">
      <formula1>"Working, Draft, Proposal, In force"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.75"/>
  <cols>
    <col min="1" max="1" width="12.42578125" style="2" customWidth="1"/>
    <col min="2" max="2" width="11.42578125" style="3"/>
    <col min="3" max="3" width="11.42578125" style="2"/>
    <col min="4" max="4" width="34.5703125" style="41" customWidth="1"/>
    <col min="5" max="5" width="57.28515625" style="41" customWidth="1"/>
    <col min="6" max="6" width="34.140625" style="41" customWidth="1"/>
    <col min="7" max="7" width="17.7109375" style="46" customWidth="1"/>
    <col min="8" max="8" width="11.42578125" style="48" customWidth="1"/>
    <col min="9" max="9" width="10.28515625" style="44" customWidth="1"/>
    <col min="10" max="10" width="9.28515625" style="44" customWidth="1"/>
    <col min="11" max="11" width="8.85546875" style="44" customWidth="1"/>
    <col min="12" max="12" width="9.42578125" style="41" customWidth="1"/>
    <col min="13" max="13" width="25.5703125" style="55" customWidth="1"/>
    <col min="14" max="14" width="11.42578125" style="4"/>
    <col min="15" max="16384" width="11.42578125" style="1"/>
  </cols>
  <sheetData>
    <row r="1" spans="1:14" ht="59.25" customHeight="1" thickBot="1">
      <c r="A1" s="5" t="s">
        <v>14</v>
      </c>
      <c r="B1" s="5" t="s">
        <v>15</v>
      </c>
      <c r="C1" s="5" t="s">
        <v>16</v>
      </c>
      <c r="D1" s="56" t="s">
        <v>17</v>
      </c>
      <c r="E1" s="56" t="s">
        <v>18</v>
      </c>
      <c r="F1" s="56" t="s">
        <v>19</v>
      </c>
      <c r="G1" s="45" t="s">
        <v>20</v>
      </c>
      <c r="H1" s="47" t="s">
        <v>21</v>
      </c>
      <c r="I1" s="62" t="s">
        <v>22</v>
      </c>
      <c r="J1" s="74" t="s">
        <v>23</v>
      </c>
      <c r="K1" s="74" t="s">
        <v>24</v>
      </c>
      <c r="L1" s="75" t="s">
        <v>44</v>
      </c>
      <c r="M1" s="64" t="s">
        <v>45</v>
      </c>
      <c r="N1" s="41"/>
    </row>
    <row r="2" spans="1:14" s="44" customFormat="1" ht="59.25" customHeight="1" thickBot="1">
      <c r="A2" s="90" t="s">
        <v>109</v>
      </c>
      <c r="B2" s="91" t="str">
        <f>_xlfn.CONCAT("128_", TEXT(ROW()-1, "0000"))</f>
        <v>128_0001</v>
      </c>
      <c r="C2" s="92" t="s">
        <v>67</v>
      </c>
      <c r="D2" s="93" t="s">
        <v>79</v>
      </c>
      <c r="E2" s="93" t="s">
        <v>32</v>
      </c>
      <c r="F2" s="94" t="s">
        <v>37</v>
      </c>
      <c r="G2" s="93" t="s">
        <v>25</v>
      </c>
      <c r="H2" s="95" t="s">
        <v>99</v>
      </c>
      <c r="I2" s="96" t="s">
        <v>31</v>
      </c>
      <c r="J2" s="96"/>
      <c r="K2" s="96"/>
      <c r="L2" s="97" t="s">
        <v>43</v>
      </c>
      <c r="M2" s="96"/>
      <c r="N2" s="41"/>
    </row>
    <row r="3" spans="1:14" s="44" customFormat="1" ht="59.25" customHeight="1" thickBot="1">
      <c r="A3" s="90" t="s">
        <v>110</v>
      </c>
      <c r="B3" s="91" t="str">
        <f t="shared" ref="B3:B12" si="0">_xlfn.CONCAT("128_", TEXT(ROW()-1, "0000"))</f>
        <v>128_0002</v>
      </c>
      <c r="C3" s="92" t="s">
        <v>67</v>
      </c>
      <c r="D3" s="93" t="s">
        <v>54</v>
      </c>
      <c r="E3" s="93" t="s">
        <v>46</v>
      </c>
      <c r="F3" s="94" t="s">
        <v>38</v>
      </c>
      <c r="G3" s="93" t="s">
        <v>25</v>
      </c>
      <c r="H3" s="98" t="s">
        <v>100</v>
      </c>
      <c r="I3" s="96" t="s">
        <v>31</v>
      </c>
      <c r="J3" s="96"/>
      <c r="K3" s="96"/>
      <c r="L3" s="97" t="s">
        <v>42</v>
      </c>
      <c r="M3" s="96"/>
      <c r="N3" s="41"/>
    </row>
    <row r="4" spans="1:14" s="44" customFormat="1" ht="59.25" customHeight="1" thickBot="1">
      <c r="A4" s="90" t="s">
        <v>111</v>
      </c>
      <c r="B4" s="91" t="str">
        <f t="shared" si="0"/>
        <v>128_0003</v>
      </c>
      <c r="C4" s="99" t="s">
        <v>72</v>
      </c>
      <c r="D4" s="93" t="s">
        <v>73</v>
      </c>
      <c r="E4" s="93" t="s">
        <v>107</v>
      </c>
      <c r="F4" s="100" t="s">
        <v>59</v>
      </c>
      <c r="G4" s="93" t="s">
        <v>25</v>
      </c>
      <c r="H4" s="95" t="s">
        <v>101</v>
      </c>
      <c r="I4" s="96" t="s">
        <v>31</v>
      </c>
      <c r="J4" s="96" t="s">
        <v>26</v>
      </c>
      <c r="K4" s="96"/>
      <c r="L4" s="97" t="s">
        <v>43</v>
      </c>
      <c r="M4" s="96"/>
      <c r="N4" s="41"/>
    </row>
    <row r="5" spans="1:14" ht="59.25" customHeight="1" thickBot="1">
      <c r="A5" s="90" t="s">
        <v>112</v>
      </c>
      <c r="B5" s="91" t="str">
        <f t="shared" si="0"/>
        <v>128_0004</v>
      </c>
      <c r="C5" s="99" t="s">
        <v>67</v>
      </c>
      <c r="D5" s="93" t="s">
        <v>74</v>
      </c>
      <c r="E5" s="93" t="s">
        <v>47</v>
      </c>
      <c r="F5" s="101" t="s">
        <v>60</v>
      </c>
      <c r="G5" s="93" t="s">
        <v>65</v>
      </c>
      <c r="H5" s="98"/>
      <c r="I5" s="96" t="s">
        <v>31</v>
      </c>
      <c r="J5" s="102" t="s">
        <v>26</v>
      </c>
      <c r="K5" s="96"/>
      <c r="L5" s="97" t="s">
        <v>43</v>
      </c>
      <c r="M5" s="96"/>
      <c r="N5" s="41"/>
    </row>
    <row r="6" spans="1:14" ht="59.25" customHeight="1" thickBot="1">
      <c r="A6" s="90" t="s">
        <v>113</v>
      </c>
      <c r="B6" s="91" t="str">
        <f t="shared" si="0"/>
        <v>128_0005</v>
      </c>
      <c r="C6" s="92" t="s">
        <v>67</v>
      </c>
      <c r="D6" s="93" t="s">
        <v>36</v>
      </c>
      <c r="E6" s="93" t="s">
        <v>48</v>
      </c>
      <c r="F6" s="101" t="s">
        <v>39</v>
      </c>
      <c r="G6" s="93" t="s">
        <v>65</v>
      </c>
      <c r="H6" s="98"/>
      <c r="I6" s="96" t="s">
        <v>31</v>
      </c>
      <c r="J6" s="102"/>
      <c r="K6" s="96"/>
      <c r="L6" s="97" t="s">
        <v>43</v>
      </c>
      <c r="M6" s="96"/>
      <c r="N6" s="41"/>
    </row>
    <row r="7" spans="1:14" ht="59.25" customHeight="1" thickBot="1">
      <c r="A7" s="90" t="s">
        <v>114</v>
      </c>
      <c r="B7" s="91" t="str">
        <f t="shared" si="0"/>
        <v>128_0006</v>
      </c>
      <c r="C7" s="99" t="s">
        <v>71</v>
      </c>
      <c r="D7" s="93" t="s">
        <v>77</v>
      </c>
      <c r="E7" s="103" t="s">
        <v>66</v>
      </c>
      <c r="F7" s="101" t="s">
        <v>78</v>
      </c>
      <c r="G7" s="93" t="s">
        <v>25</v>
      </c>
      <c r="H7" s="95" t="s">
        <v>102</v>
      </c>
      <c r="I7" s="96" t="s">
        <v>31</v>
      </c>
      <c r="J7" s="102"/>
      <c r="K7" s="102"/>
      <c r="L7" s="97" t="s">
        <v>43</v>
      </c>
      <c r="M7" s="96"/>
      <c r="N7" s="41"/>
    </row>
    <row r="8" spans="1:14" ht="59.25" customHeight="1" thickBot="1">
      <c r="A8" s="90" t="s">
        <v>115</v>
      </c>
      <c r="B8" s="91" t="str">
        <f t="shared" si="0"/>
        <v>128_0007</v>
      </c>
      <c r="C8" s="99" t="s">
        <v>71</v>
      </c>
      <c r="D8" s="103" t="s">
        <v>55</v>
      </c>
      <c r="E8" s="93" t="s">
        <v>49</v>
      </c>
      <c r="F8" s="101" t="s">
        <v>61</v>
      </c>
      <c r="G8" s="93" t="s">
        <v>25</v>
      </c>
      <c r="H8" s="95" t="s">
        <v>103</v>
      </c>
      <c r="I8" s="102" t="s">
        <v>31</v>
      </c>
      <c r="J8" s="102"/>
      <c r="K8" s="102"/>
      <c r="L8" s="97" t="s">
        <v>43</v>
      </c>
      <c r="M8" s="96"/>
      <c r="N8" s="41"/>
    </row>
    <row r="9" spans="1:14" ht="59.25" customHeight="1" thickBot="1">
      <c r="A9" s="104" t="s">
        <v>116</v>
      </c>
      <c r="B9" s="91" t="str">
        <f t="shared" si="0"/>
        <v>128_0008</v>
      </c>
      <c r="C9" s="105" t="s">
        <v>71</v>
      </c>
      <c r="D9" s="106" t="s">
        <v>56</v>
      </c>
      <c r="E9" s="106" t="s">
        <v>50</v>
      </c>
      <c r="F9" s="107" t="s">
        <v>62</v>
      </c>
      <c r="G9" s="106" t="s">
        <v>25</v>
      </c>
      <c r="H9" s="108" t="s">
        <v>103</v>
      </c>
      <c r="I9" s="102" t="s">
        <v>31</v>
      </c>
      <c r="J9" s="102"/>
      <c r="K9" s="102"/>
      <c r="L9" s="97" t="s">
        <v>43</v>
      </c>
      <c r="M9" s="96"/>
      <c r="N9" s="41"/>
    </row>
    <row r="10" spans="1:14" s="89" customFormat="1" ht="59.25" customHeight="1" thickBot="1">
      <c r="A10" s="109" t="s">
        <v>117</v>
      </c>
      <c r="B10" s="91" t="str">
        <f t="shared" si="0"/>
        <v>128_0009</v>
      </c>
      <c r="C10" s="99" t="s">
        <v>72</v>
      </c>
      <c r="D10" s="93" t="s">
        <v>57</v>
      </c>
      <c r="E10" s="93" t="s">
        <v>51</v>
      </c>
      <c r="F10" s="110" t="s">
        <v>40</v>
      </c>
      <c r="G10" s="111" t="s">
        <v>25</v>
      </c>
      <c r="H10" s="112" t="s">
        <v>104</v>
      </c>
      <c r="I10" s="113" t="s">
        <v>31</v>
      </c>
      <c r="J10" s="113"/>
      <c r="K10" s="113"/>
      <c r="L10" s="111" t="s">
        <v>43</v>
      </c>
      <c r="M10" s="114"/>
      <c r="N10" s="88"/>
    </row>
    <row r="11" spans="1:14" ht="59.25" customHeight="1" thickBot="1">
      <c r="A11" s="90" t="s">
        <v>118</v>
      </c>
      <c r="B11" s="91" t="str">
        <f t="shared" si="0"/>
        <v>128_0010</v>
      </c>
      <c r="C11" s="99" t="s">
        <v>72</v>
      </c>
      <c r="D11" s="93" t="s">
        <v>58</v>
      </c>
      <c r="E11" s="93" t="s">
        <v>52</v>
      </c>
      <c r="F11" s="101" t="s">
        <v>63</v>
      </c>
      <c r="G11" s="97" t="s">
        <v>25</v>
      </c>
      <c r="H11" s="115" t="s">
        <v>105</v>
      </c>
      <c r="I11" s="102" t="s">
        <v>31</v>
      </c>
      <c r="J11" s="102"/>
      <c r="K11" s="102"/>
      <c r="L11" s="116" t="s">
        <v>43</v>
      </c>
      <c r="M11" s="96"/>
    </row>
    <row r="12" spans="1:14" ht="59.25" customHeight="1" thickBot="1">
      <c r="A12" s="90" t="s">
        <v>119</v>
      </c>
      <c r="B12" s="91" t="str">
        <f t="shared" si="0"/>
        <v>128_0011</v>
      </c>
      <c r="C12" s="99" t="s">
        <v>72</v>
      </c>
      <c r="D12" s="93" t="s">
        <v>34</v>
      </c>
      <c r="E12" s="93" t="s">
        <v>33</v>
      </c>
      <c r="F12" s="101" t="s">
        <v>41</v>
      </c>
      <c r="G12" s="93" t="s">
        <v>65</v>
      </c>
      <c r="H12" s="117"/>
      <c r="I12" s="102" t="s">
        <v>31</v>
      </c>
      <c r="J12" s="102"/>
      <c r="K12" s="102"/>
      <c r="L12" s="116" t="s">
        <v>43</v>
      </c>
      <c r="M12" s="96"/>
    </row>
    <row r="13" spans="1:14" ht="59.25" customHeight="1" thickBot="1">
      <c r="A13" s="90" t="s">
        <v>120</v>
      </c>
      <c r="B13" s="91" t="str">
        <f t="shared" ref="B13:B18" si="1">_xlfn.CONCAT("128_", TEXT(ROW()-1, "0000"))</f>
        <v>128_0012</v>
      </c>
      <c r="C13" s="99" t="s">
        <v>72</v>
      </c>
      <c r="D13" s="93" t="s">
        <v>35</v>
      </c>
      <c r="E13" s="93" t="s">
        <v>53</v>
      </c>
      <c r="F13" s="101" t="s">
        <v>64</v>
      </c>
      <c r="G13" s="93" t="s">
        <v>25</v>
      </c>
      <c r="H13" s="117" t="s">
        <v>106</v>
      </c>
      <c r="I13" s="102" t="s">
        <v>31</v>
      </c>
      <c r="J13" s="102"/>
      <c r="K13" s="102"/>
      <c r="L13" s="116" t="s">
        <v>43</v>
      </c>
      <c r="M13" s="96"/>
    </row>
    <row r="14" spans="1:14" ht="59.25" customHeight="1" thickBot="1">
      <c r="A14" s="90" t="s">
        <v>121</v>
      </c>
      <c r="B14" s="91" t="str">
        <f t="shared" si="1"/>
        <v>128_0013</v>
      </c>
      <c r="C14" s="99" t="s">
        <v>67</v>
      </c>
      <c r="D14" s="93" t="s">
        <v>75</v>
      </c>
      <c r="E14" s="93" t="s">
        <v>108</v>
      </c>
      <c r="F14" s="101" t="s">
        <v>76</v>
      </c>
      <c r="G14" s="93"/>
      <c r="H14" s="98"/>
      <c r="I14" s="96" t="s">
        <v>26</v>
      </c>
      <c r="J14" s="102"/>
      <c r="K14" s="102"/>
      <c r="L14" s="97" t="s">
        <v>43</v>
      </c>
      <c r="M14" s="96"/>
    </row>
    <row r="15" spans="1:14" ht="59.25" customHeight="1" thickBot="1">
      <c r="A15" s="90" t="s">
        <v>122</v>
      </c>
      <c r="B15" s="91" t="str">
        <f t="shared" si="1"/>
        <v>128_0014</v>
      </c>
      <c r="C15" s="119" t="s">
        <v>71</v>
      </c>
      <c r="D15" s="103" t="s">
        <v>69</v>
      </c>
      <c r="E15" s="93" t="s">
        <v>68</v>
      </c>
      <c r="F15" s="101" t="s">
        <v>70</v>
      </c>
      <c r="G15" s="93" t="s">
        <v>25</v>
      </c>
      <c r="H15" s="95" t="s">
        <v>103</v>
      </c>
      <c r="I15" s="102"/>
      <c r="J15" s="102"/>
      <c r="K15" s="102"/>
      <c r="L15" s="116"/>
      <c r="M15" s="96"/>
    </row>
    <row r="16" spans="1:14" ht="59.25" customHeight="1" thickBot="1">
      <c r="A16" s="90" t="s">
        <v>123</v>
      </c>
      <c r="B16" s="99" t="str">
        <f t="shared" si="1"/>
        <v>128_0015</v>
      </c>
      <c r="C16" s="120" t="s">
        <v>67</v>
      </c>
      <c r="D16" s="96" t="s">
        <v>81</v>
      </c>
      <c r="E16" s="96" t="s">
        <v>82</v>
      </c>
      <c r="F16" s="96" t="s">
        <v>83</v>
      </c>
      <c r="G16" s="102" t="s">
        <v>65</v>
      </c>
      <c r="H16" s="118"/>
      <c r="I16" s="102" t="s">
        <v>26</v>
      </c>
      <c r="J16" s="102"/>
      <c r="K16" s="102"/>
      <c r="L16" s="96" t="s">
        <v>84</v>
      </c>
      <c r="M16" s="96"/>
    </row>
    <row r="17" spans="1:13" ht="59.25" customHeight="1" thickBot="1">
      <c r="A17" s="90" t="s">
        <v>124</v>
      </c>
      <c r="B17" s="99" t="str">
        <f t="shared" si="1"/>
        <v>128_0016</v>
      </c>
      <c r="C17" s="120" t="s">
        <v>72</v>
      </c>
      <c r="D17" s="96" t="s">
        <v>85</v>
      </c>
      <c r="E17" s="96" t="s">
        <v>86</v>
      </c>
      <c r="F17" s="96" t="s">
        <v>87</v>
      </c>
      <c r="G17" s="102" t="s">
        <v>65</v>
      </c>
      <c r="H17" s="118"/>
      <c r="I17" s="102" t="s">
        <v>26</v>
      </c>
      <c r="J17" s="102"/>
      <c r="K17" s="102"/>
      <c r="L17" s="96" t="s">
        <v>88</v>
      </c>
      <c r="M17" s="96"/>
    </row>
    <row r="18" spans="1:13" ht="59.25" customHeight="1" thickBot="1">
      <c r="A18" s="90" t="s">
        <v>125</v>
      </c>
      <c r="B18" s="99" t="str">
        <f t="shared" si="1"/>
        <v>128_0017</v>
      </c>
      <c r="C18" s="120" t="s">
        <v>67</v>
      </c>
      <c r="D18" s="96" t="s">
        <v>89</v>
      </c>
      <c r="E18" s="96" t="s">
        <v>90</v>
      </c>
      <c r="F18" s="96" t="s">
        <v>91</v>
      </c>
      <c r="G18" s="102" t="s">
        <v>65</v>
      </c>
      <c r="H18" s="118"/>
      <c r="I18" s="102" t="s">
        <v>26</v>
      </c>
      <c r="J18" s="102"/>
      <c r="K18" s="102"/>
      <c r="L18" s="96" t="s">
        <v>80</v>
      </c>
      <c r="M18" s="96"/>
    </row>
  </sheetData>
  <autoFilter ref="K1:K18" xr:uid="{00000000-0001-0000-0100-000000000000}">
    <filterColumn colId="0">
      <filters blank="1"/>
    </filterColumn>
  </autoFilter>
  <dataValidations count="1">
    <dataValidation type="list" allowBlank="1" showInputMessage="1" showErrorMessage="1" sqref="C2:C18" xr:uid="{1FB138CC-14EF-4406-9E7B-EC5039F9ECE1}">
      <formula1>"C,E,W"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ED3A-C64B-4840-BCED-AC4084F0FF9E}">
  <dimension ref="A1:R91"/>
  <sheetViews>
    <sheetView zoomScale="110" zoomScaleNormal="110" workbookViewId="0">
      <selection activeCell="A2" sqref="A2"/>
    </sheetView>
  </sheetViews>
  <sheetFormatPr defaultColWidth="8.7109375" defaultRowHeight="12.75"/>
  <cols>
    <col min="1" max="1" width="13" style="82" customWidth="1"/>
    <col min="2" max="2" width="11.28515625" style="86" customWidth="1"/>
    <col min="3" max="3" width="12.7109375" style="82" customWidth="1"/>
    <col min="4" max="4" width="42.28515625" style="41" customWidth="1"/>
    <col min="5" max="5" width="58.85546875" style="41" customWidth="1"/>
    <col min="6" max="6" width="34.7109375" style="41" customWidth="1"/>
    <col min="7" max="7" width="18" style="84" customWidth="1"/>
    <col min="8" max="8" width="16.28515625" style="85" customWidth="1"/>
    <col min="9" max="9" width="10.42578125" style="41" customWidth="1"/>
    <col min="10" max="10" width="8.28515625" style="41" customWidth="1"/>
    <col min="11" max="11" width="8" style="41" customWidth="1"/>
    <col min="12" max="12" width="9.42578125" style="41" customWidth="1"/>
    <col min="13" max="13" width="25.28515625" style="55" customWidth="1"/>
    <col min="14" max="14" width="27.140625" style="4" customWidth="1"/>
    <col min="15" max="16384" width="8.7109375" style="4"/>
  </cols>
  <sheetData>
    <row r="1" spans="1:18" ht="26.25" thickBot="1">
      <c r="A1" s="5" t="s">
        <v>14</v>
      </c>
      <c r="B1" s="5" t="s">
        <v>15</v>
      </c>
      <c r="C1" s="5" t="s">
        <v>16</v>
      </c>
      <c r="D1" s="56" t="s">
        <v>17</v>
      </c>
      <c r="E1" s="56" t="s">
        <v>18</v>
      </c>
      <c r="F1" s="56" t="s">
        <v>19</v>
      </c>
      <c r="G1" s="45" t="s">
        <v>20</v>
      </c>
      <c r="H1" s="47" t="s">
        <v>21</v>
      </c>
      <c r="I1" s="62" t="s">
        <v>22</v>
      </c>
      <c r="J1" s="74" t="s">
        <v>23</v>
      </c>
      <c r="K1" s="74" t="s">
        <v>24</v>
      </c>
      <c r="L1" s="75" t="s">
        <v>44</v>
      </c>
      <c r="M1" s="64" t="s">
        <v>45</v>
      </c>
      <c r="N1" s="41"/>
    </row>
    <row r="2" spans="1:18" ht="13.5" thickBot="1">
      <c r="A2" s="42" t="str" cm="1">
        <f t="array" ref="A2">_xlfn._xlws.FILTER(S128Checks!A2:M13,NOT(ISBLANK(S128Checks!K2:K13)),"")</f>
        <v/>
      </c>
      <c r="B2" s="43"/>
      <c r="C2" s="6"/>
      <c r="D2" s="57"/>
      <c r="E2" s="57"/>
      <c r="F2" s="65"/>
      <c r="G2" s="57"/>
      <c r="H2" s="72"/>
      <c r="I2" s="78"/>
      <c r="J2" s="78"/>
      <c r="K2" s="78"/>
      <c r="L2" s="76"/>
      <c r="M2" s="77"/>
      <c r="N2" s="41"/>
      <c r="O2" s="80"/>
      <c r="P2" s="80"/>
      <c r="Q2" s="80"/>
      <c r="R2" s="80"/>
    </row>
    <row r="3" spans="1:18" ht="13.5" thickBot="1">
      <c r="A3" s="42"/>
      <c r="B3" s="43"/>
      <c r="C3" s="6"/>
      <c r="D3" s="58"/>
      <c r="E3" s="58"/>
      <c r="F3" s="66"/>
      <c r="G3" s="63"/>
      <c r="H3" s="73"/>
      <c r="I3" s="78"/>
      <c r="J3" s="78"/>
      <c r="K3" s="78"/>
      <c r="L3" s="76"/>
      <c r="M3" s="77"/>
      <c r="N3" s="41"/>
    </row>
    <row r="4" spans="1:18" ht="13.5" thickBot="1">
      <c r="A4" s="42"/>
      <c r="B4" s="43"/>
      <c r="C4" s="6"/>
      <c r="D4" s="58"/>
      <c r="E4" s="58"/>
      <c r="F4" s="66"/>
      <c r="G4" s="58"/>
      <c r="H4" s="73"/>
      <c r="I4" s="78"/>
      <c r="J4" s="78"/>
      <c r="K4" s="78"/>
      <c r="L4" s="76"/>
      <c r="M4" s="77"/>
      <c r="N4" s="41"/>
    </row>
    <row r="5" spans="1:18" ht="13.5" thickBot="1">
      <c r="A5" s="42"/>
      <c r="B5" s="43"/>
      <c r="C5" s="6"/>
      <c r="D5" s="58"/>
      <c r="E5" s="58"/>
      <c r="F5" s="66"/>
      <c r="G5" s="58"/>
      <c r="H5" s="73"/>
      <c r="I5" s="78"/>
      <c r="J5" s="78"/>
      <c r="K5" s="78"/>
      <c r="L5" s="76"/>
      <c r="M5" s="77"/>
      <c r="N5" s="41"/>
    </row>
    <row r="6" spans="1:18" ht="13.5" thickBot="1">
      <c r="A6" s="42"/>
      <c r="B6" s="43"/>
      <c r="C6" s="6"/>
      <c r="D6" s="58"/>
      <c r="E6" s="58"/>
      <c r="F6" s="66"/>
      <c r="G6" s="58"/>
      <c r="H6" s="73"/>
      <c r="I6" s="78"/>
      <c r="J6" s="78"/>
      <c r="K6" s="78"/>
      <c r="L6" s="76"/>
      <c r="M6" s="77"/>
      <c r="N6" s="41"/>
    </row>
    <row r="7" spans="1:18" s="41" customFormat="1" ht="13.5" thickBot="1">
      <c r="A7" s="42"/>
      <c r="B7" s="43"/>
      <c r="C7" s="40"/>
      <c r="D7" s="58"/>
      <c r="E7" s="58"/>
      <c r="F7" s="67"/>
      <c r="G7" s="58"/>
      <c r="H7" s="73"/>
      <c r="I7" s="78"/>
      <c r="J7" s="78"/>
      <c r="K7" s="78"/>
      <c r="L7" s="76"/>
      <c r="M7" s="77"/>
    </row>
    <row r="8" spans="1:18" s="41" customFormat="1" ht="13.5" thickBot="1">
      <c r="A8" s="42"/>
      <c r="B8" s="43"/>
      <c r="C8" s="40"/>
      <c r="D8" s="58"/>
      <c r="E8" s="58"/>
      <c r="F8" s="67"/>
      <c r="G8" s="58"/>
      <c r="H8" s="73"/>
      <c r="I8" s="78"/>
      <c r="J8" s="78"/>
      <c r="K8" s="78"/>
      <c r="L8" s="76"/>
      <c r="M8" s="77"/>
    </row>
    <row r="9" spans="1:18" ht="13.5" thickBot="1">
      <c r="A9" s="42"/>
      <c r="B9" s="43"/>
      <c r="C9" s="6"/>
      <c r="D9" s="58"/>
      <c r="E9" s="58"/>
      <c r="F9" s="66"/>
      <c r="G9" s="58"/>
      <c r="H9" s="73"/>
      <c r="I9" s="78"/>
      <c r="J9" s="78"/>
      <c r="K9" s="78"/>
      <c r="L9" s="76"/>
      <c r="M9" s="77"/>
    </row>
    <row r="10" spans="1:18" ht="13.5" thickBot="1">
      <c r="A10" s="42"/>
      <c r="B10" s="43"/>
      <c r="C10" s="6"/>
      <c r="D10" s="58"/>
      <c r="E10" s="58"/>
      <c r="F10" s="66"/>
      <c r="G10" s="58"/>
      <c r="H10" s="73"/>
      <c r="I10" s="78"/>
      <c r="J10" s="78"/>
      <c r="K10" s="78"/>
      <c r="L10" s="76"/>
      <c r="M10" s="77"/>
    </row>
    <row r="11" spans="1:18" ht="13.5" thickBot="1">
      <c r="A11" s="42"/>
      <c r="B11" s="43"/>
      <c r="C11" s="6"/>
      <c r="D11" s="58"/>
      <c r="E11" s="58"/>
      <c r="F11" s="66"/>
      <c r="G11" s="58"/>
      <c r="H11" s="73"/>
      <c r="I11" s="78"/>
      <c r="J11" s="78"/>
      <c r="K11" s="78"/>
      <c r="L11" s="76"/>
      <c r="M11" s="77"/>
      <c r="N11" s="41"/>
    </row>
    <row r="12" spans="1:18" ht="13.5" thickBot="1">
      <c r="A12" s="42"/>
      <c r="B12" s="43"/>
      <c r="C12" s="6"/>
      <c r="D12" s="58"/>
      <c r="E12" s="58"/>
      <c r="F12" s="68"/>
      <c r="G12" s="58"/>
      <c r="H12" s="73"/>
      <c r="I12" s="78"/>
      <c r="J12" s="78"/>
      <c r="K12" s="78"/>
      <c r="L12" s="76"/>
      <c r="M12" s="77"/>
      <c r="N12" s="41"/>
    </row>
    <row r="13" spans="1:18" s="41" customFormat="1" ht="13.5" thickBot="1">
      <c r="A13" s="42"/>
      <c r="B13" s="43"/>
      <c r="C13" s="40"/>
      <c r="D13" s="58"/>
      <c r="E13" s="58"/>
      <c r="F13" s="66"/>
      <c r="G13" s="58"/>
      <c r="H13" s="73"/>
      <c r="I13" s="78"/>
      <c r="J13" s="78"/>
      <c r="K13" s="78"/>
      <c r="L13" s="76"/>
      <c r="M13" s="77"/>
    </row>
    <row r="14" spans="1:18" s="41" customFormat="1" ht="13.5" thickBot="1">
      <c r="A14" s="42"/>
      <c r="B14" s="43"/>
      <c r="C14" s="40"/>
      <c r="D14" s="51"/>
      <c r="E14" s="58"/>
      <c r="F14" s="66"/>
      <c r="G14" s="58"/>
      <c r="H14" s="73"/>
      <c r="I14" s="78"/>
      <c r="J14" s="78"/>
      <c r="K14" s="78"/>
      <c r="L14" s="76"/>
      <c r="M14" s="77"/>
    </row>
    <row r="15" spans="1:18" ht="13.5" thickBot="1">
      <c r="A15" s="42"/>
      <c r="B15" s="43"/>
      <c r="C15" s="6"/>
      <c r="D15" s="57"/>
      <c r="E15" s="58"/>
      <c r="F15" s="69"/>
      <c r="G15" s="58"/>
      <c r="H15" s="73"/>
      <c r="I15" s="78"/>
      <c r="J15" s="78"/>
      <c r="K15" s="78"/>
      <c r="L15" s="76"/>
      <c r="M15" s="77"/>
      <c r="N15" s="41"/>
    </row>
    <row r="16" spans="1:18" s="41" customFormat="1" ht="13.5" thickBot="1">
      <c r="A16" s="42"/>
      <c r="B16" s="43"/>
      <c r="C16" s="40"/>
      <c r="D16" s="58"/>
      <c r="E16" s="58"/>
      <c r="F16" s="70"/>
      <c r="G16" s="58"/>
      <c r="H16" s="73"/>
      <c r="I16" s="78"/>
      <c r="J16" s="78"/>
      <c r="K16" s="78"/>
      <c r="L16" s="76"/>
      <c r="M16" s="77"/>
    </row>
    <row r="17" spans="1:14" ht="13.5" thickBot="1">
      <c r="A17" s="42"/>
      <c r="B17" s="43"/>
      <c r="C17" s="6"/>
      <c r="D17" s="52"/>
      <c r="E17" s="58"/>
      <c r="F17" s="69"/>
      <c r="G17" s="58"/>
      <c r="H17" s="73"/>
      <c r="I17" s="78"/>
      <c r="J17" s="78"/>
      <c r="K17" s="78"/>
      <c r="L17" s="76"/>
      <c r="M17" s="77"/>
      <c r="N17" s="41"/>
    </row>
    <row r="18" spans="1:14" ht="13.5" thickBot="1">
      <c r="A18" s="42"/>
      <c r="B18" s="43"/>
      <c r="C18" s="6"/>
      <c r="D18" s="57"/>
      <c r="E18" s="58"/>
      <c r="F18" s="66"/>
      <c r="G18" s="58"/>
      <c r="H18" s="73"/>
      <c r="I18" s="78"/>
      <c r="J18" s="78"/>
      <c r="K18" s="78"/>
      <c r="L18" s="76"/>
      <c r="M18" s="77"/>
      <c r="N18" s="41"/>
    </row>
    <row r="19" spans="1:14" ht="13.5" thickBot="1">
      <c r="A19" s="42"/>
      <c r="B19" s="43"/>
      <c r="C19" s="6"/>
      <c r="D19" s="58"/>
      <c r="E19" s="58"/>
      <c r="F19" s="66"/>
      <c r="G19" s="58"/>
      <c r="H19" s="73"/>
      <c r="I19" s="78"/>
      <c r="J19" s="78"/>
      <c r="K19" s="78"/>
      <c r="L19" s="76"/>
      <c r="M19" s="77"/>
      <c r="N19" s="41"/>
    </row>
    <row r="20" spans="1:14" ht="13.5" thickBot="1">
      <c r="A20" s="42"/>
      <c r="B20" s="43"/>
      <c r="C20" s="6"/>
      <c r="D20" s="58"/>
      <c r="E20" s="58"/>
      <c r="F20" s="66"/>
      <c r="G20" s="58"/>
      <c r="H20" s="73"/>
      <c r="I20" s="78"/>
      <c r="J20" s="78"/>
      <c r="K20" s="78"/>
      <c r="L20" s="76"/>
      <c r="M20" s="77"/>
      <c r="N20" s="41"/>
    </row>
    <row r="21" spans="1:14" ht="13.5" thickBot="1">
      <c r="A21" s="42"/>
      <c r="B21" s="43"/>
      <c r="C21" s="6"/>
      <c r="D21" s="58"/>
      <c r="E21" s="58"/>
      <c r="F21" s="66"/>
      <c r="G21" s="58"/>
      <c r="H21" s="73"/>
      <c r="I21" s="78"/>
      <c r="J21" s="78"/>
      <c r="K21" s="78"/>
      <c r="L21" s="76"/>
      <c r="M21" s="77"/>
      <c r="N21" s="41"/>
    </row>
    <row r="22" spans="1:14" ht="13.5" thickBot="1">
      <c r="A22" s="42"/>
      <c r="B22" s="43"/>
      <c r="C22" s="6"/>
      <c r="D22" s="58"/>
      <c r="E22" s="57"/>
      <c r="F22" s="66"/>
      <c r="G22" s="58"/>
      <c r="H22" s="73"/>
      <c r="I22" s="78"/>
      <c r="J22" s="78"/>
      <c r="K22" s="78"/>
      <c r="L22" s="76"/>
      <c r="M22" s="77"/>
      <c r="N22" s="41"/>
    </row>
    <row r="23" spans="1:14" ht="13.5" thickBot="1">
      <c r="A23" s="42"/>
      <c r="B23" s="43"/>
      <c r="C23" s="40"/>
      <c r="D23" s="58"/>
      <c r="E23" s="58"/>
      <c r="F23" s="66"/>
      <c r="G23" s="58"/>
      <c r="H23" s="73"/>
      <c r="I23" s="78"/>
      <c r="J23" s="78"/>
      <c r="K23" s="78"/>
      <c r="L23" s="76"/>
      <c r="M23" s="77"/>
      <c r="N23" s="41"/>
    </row>
    <row r="24" spans="1:14" ht="13.5" thickBot="1">
      <c r="A24" s="42"/>
      <c r="B24" s="43"/>
      <c r="C24" s="6"/>
      <c r="D24" s="58"/>
      <c r="E24" s="87"/>
      <c r="F24" s="66"/>
      <c r="G24" s="58"/>
      <c r="H24" s="73"/>
      <c r="I24" s="78"/>
      <c r="J24" s="78"/>
      <c r="K24" s="78"/>
      <c r="L24" s="76"/>
      <c r="M24" s="77"/>
      <c r="N24" s="41"/>
    </row>
    <row r="25" spans="1:14" ht="13.5" thickBot="1">
      <c r="A25" s="42"/>
      <c r="B25" s="43"/>
      <c r="C25" s="6"/>
      <c r="D25" s="51"/>
      <c r="E25" s="58"/>
      <c r="F25" s="66"/>
      <c r="G25" s="58"/>
      <c r="H25" s="73"/>
      <c r="I25" s="78"/>
      <c r="J25" s="78"/>
      <c r="K25" s="78"/>
      <c r="L25" s="76"/>
      <c r="M25" s="77"/>
      <c r="N25" s="41"/>
    </row>
    <row r="26" spans="1:14" ht="13.5" thickBot="1">
      <c r="A26" s="42"/>
      <c r="B26" s="43"/>
      <c r="C26" s="6"/>
      <c r="D26" s="57"/>
      <c r="E26" s="58"/>
      <c r="F26" s="66"/>
      <c r="G26" s="58"/>
      <c r="H26" s="73"/>
      <c r="I26" s="78"/>
      <c r="J26" s="78"/>
      <c r="K26" s="78"/>
      <c r="L26" s="76"/>
      <c r="M26" s="77"/>
      <c r="N26" s="41"/>
    </row>
    <row r="27" spans="1:14" ht="13.5" thickBot="1">
      <c r="A27" s="42"/>
      <c r="B27" s="43"/>
      <c r="C27" s="6"/>
      <c r="D27" s="58"/>
      <c r="E27" s="58"/>
      <c r="F27" s="66"/>
      <c r="G27" s="58"/>
      <c r="H27" s="73"/>
      <c r="I27" s="78"/>
      <c r="J27" s="78"/>
      <c r="K27" s="78"/>
      <c r="L27" s="76"/>
      <c r="M27" s="77"/>
      <c r="N27" s="41"/>
    </row>
    <row r="28" spans="1:14" ht="13.5" thickBot="1">
      <c r="A28" s="42"/>
      <c r="B28" s="43"/>
      <c r="C28" s="6"/>
      <c r="D28" s="58"/>
      <c r="E28" s="58"/>
      <c r="F28" s="66"/>
      <c r="G28" s="58"/>
      <c r="H28" s="73"/>
      <c r="I28" s="78"/>
      <c r="J28" s="78"/>
      <c r="K28" s="78"/>
      <c r="L28" s="76"/>
      <c r="M28" s="77"/>
      <c r="N28" s="41"/>
    </row>
    <row r="29" spans="1:14" ht="13.5" thickBot="1">
      <c r="A29" s="42"/>
      <c r="B29" s="43"/>
      <c r="C29" s="6"/>
      <c r="D29" s="58"/>
      <c r="E29" s="58"/>
      <c r="F29" s="66"/>
      <c r="G29" s="61"/>
      <c r="H29" s="73"/>
      <c r="I29" s="78"/>
      <c r="J29" s="78"/>
      <c r="K29" s="78"/>
      <c r="L29" s="76"/>
      <c r="M29" s="77"/>
      <c r="N29" s="41"/>
    </row>
    <row r="30" spans="1:14" s="41" customFormat="1" ht="13.5" thickBot="1">
      <c r="A30" s="42"/>
      <c r="B30" s="43"/>
      <c r="C30" s="40"/>
      <c r="D30" s="51"/>
      <c r="E30" s="58"/>
      <c r="F30" s="66"/>
      <c r="G30" s="58"/>
      <c r="H30" s="73"/>
      <c r="I30" s="78"/>
      <c r="J30" s="78"/>
      <c r="K30" s="78"/>
      <c r="L30" s="76"/>
      <c r="M30" s="77"/>
    </row>
    <row r="31" spans="1:14" s="41" customFormat="1" ht="13.5" thickBot="1">
      <c r="A31" s="42"/>
      <c r="B31" s="43"/>
      <c r="C31" s="81"/>
      <c r="D31" s="59"/>
      <c r="E31" s="58"/>
      <c r="F31" s="66"/>
      <c r="G31" s="58"/>
      <c r="H31" s="73"/>
      <c r="I31" s="78"/>
      <c r="J31" s="78"/>
      <c r="K31" s="78"/>
      <c r="L31" s="76"/>
      <c r="M31" s="77"/>
    </row>
    <row r="32" spans="1:14" ht="13.5" thickBot="1">
      <c r="A32" s="42"/>
      <c r="B32" s="43"/>
      <c r="C32" s="6"/>
      <c r="D32" s="60"/>
      <c r="E32" s="57"/>
      <c r="F32" s="66"/>
      <c r="G32" s="58"/>
      <c r="H32" s="73"/>
      <c r="I32" s="78"/>
      <c r="J32" s="78"/>
      <c r="K32" s="78"/>
      <c r="L32" s="76"/>
      <c r="M32" s="77"/>
      <c r="N32" s="41"/>
    </row>
    <row r="33" spans="1:13" ht="13.5" thickBot="1">
      <c r="A33" s="42"/>
      <c r="B33" s="43"/>
      <c r="D33" s="60"/>
      <c r="E33" s="58"/>
      <c r="F33" s="71"/>
      <c r="G33" s="58"/>
      <c r="H33" s="83"/>
      <c r="I33" s="78"/>
      <c r="J33" s="78"/>
      <c r="K33" s="78"/>
      <c r="L33" s="76"/>
      <c r="M33" s="77"/>
    </row>
    <row r="34" spans="1:13" ht="13.5" thickBot="1">
      <c r="A34" s="42"/>
      <c r="B34" s="43"/>
      <c r="D34" s="53"/>
      <c r="E34" s="58"/>
      <c r="F34" s="71"/>
      <c r="G34" s="58"/>
      <c r="H34" s="83"/>
      <c r="I34" s="78"/>
      <c r="J34" s="78"/>
      <c r="K34" s="78"/>
      <c r="L34" s="76"/>
      <c r="M34" s="77"/>
    </row>
    <row r="35" spans="1:13" ht="13.5" thickBot="1">
      <c r="A35" s="42"/>
      <c r="B35" s="43"/>
      <c r="D35" s="53"/>
      <c r="E35" s="58"/>
      <c r="F35" s="71"/>
      <c r="G35" s="58"/>
      <c r="H35" s="83"/>
      <c r="I35" s="78"/>
      <c r="J35" s="78"/>
      <c r="K35" s="78"/>
      <c r="L35" s="76"/>
      <c r="M35" s="77"/>
    </row>
    <row r="36" spans="1:13" ht="13.5" thickBot="1">
      <c r="A36" s="42"/>
      <c r="B36" s="43"/>
      <c r="D36" s="57"/>
      <c r="E36" s="58"/>
      <c r="F36" s="71"/>
      <c r="G36" s="58"/>
      <c r="H36" s="83"/>
      <c r="I36" s="78"/>
      <c r="J36" s="78"/>
      <c r="K36" s="78"/>
      <c r="L36" s="76"/>
      <c r="M36" s="77"/>
    </row>
    <row r="37" spans="1:13" ht="13.5" thickBot="1">
      <c r="A37" s="42"/>
      <c r="B37" s="43"/>
      <c r="D37" s="57"/>
      <c r="E37" s="58"/>
      <c r="F37" s="71"/>
      <c r="G37" s="58"/>
      <c r="H37" s="83"/>
      <c r="I37" s="78"/>
      <c r="J37" s="78"/>
      <c r="K37" s="78"/>
      <c r="L37" s="76"/>
      <c r="M37" s="77"/>
    </row>
    <row r="38" spans="1:13" ht="13.5" thickBot="1">
      <c r="A38" s="42"/>
      <c r="B38" s="43"/>
      <c r="D38" s="57"/>
      <c r="E38" s="58"/>
      <c r="F38" s="71"/>
      <c r="G38" s="58"/>
      <c r="H38" s="83"/>
      <c r="I38" s="78"/>
      <c r="J38" s="78"/>
      <c r="K38" s="78"/>
      <c r="L38" s="76"/>
      <c r="M38" s="77"/>
    </row>
    <row r="39" spans="1:13" ht="13.5" thickBot="1">
      <c r="A39" s="42"/>
      <c r="B39" s="43"/>
      <c r="D39" s="61"/>
      <c r="E39" s="58"/>
      <c r="F39" s="71"/>
      <c r="G39" s="58"/>
      <c r="H39" s="83"/>
      <c r="I39" s="78"/>
      <c r="J39" s="78"/>
      <c r="K39" s="78"/>
      <c r="L39" s="76"/>
      <c r="M39" s="77"/>
    </row>
    <row r="40" spans="1:13" ht="13.5" thickBot="1">
      <c r="A40" s="42"/>
      <c r="B40" s="43"/>
      <c r="D40" s="57"/>
      <c r="E40" s="58"/>
      <c r="F40" s="71"/>
      <c r="G40" s="58"/>
      <c r="H40" s="73"/>
      <c r="I40" s="78"/>
      <c r="J40" s="78"/>
      <c r="K40" s="78"/>
      <c r="L40" s="76"/>
      <c r="M40" s="77"/>
    </row>
    <row r="41" spans="1:13" ht="13.5" thickBot="1">
      <c r="A41" s="42"/>
      <c r="B41" s="43"/>
      <c r="D41" s="58"/>
      <c r="E41" s="58"/>
      <c r="F41" s="71"/>
      <c r="G41" s="58"/>
      <c r="H41" s="73"/>
      <c r="I41" s="78"/>
      <c r="J41" s="78"/>
      <c r="K41" s="78"/>
      <c r="L41" s="76"/>
      <c r="M41" s="77"/>
    </row>
    <row r="42" spans="1:13" ht="13.5" thickBot="1">
      <c r="A42" s="42"/>
      <c r="B42" s="43"/>
      <c r="D42" s="58"/>
      <c r="E42" s="58"/>
      <c r="F42" s="71"/>
      <c r="G42" s="58"/>
      <c r="H42" s="73"/>
      <c r="I42" s="78"/>
      <c r="J42" s="78"/>
      <c r="K42" s="78"/>
      <c r="L42" s="76"/>
      <c r="M42" s="77"/>
    </row>
    <row r="43" spans="1:13" ht="13.5" thickBot="1">
      <c r="A43" s="42"/>
      <c r="B43" s="43"/>
      <c r="D43" s="58"/>
      <c r="E43" s="58"/>
      <c r="F43" s="71"/>
      <c r="G43" s="58"/>
      <c r="H43" s="73"/>
      <c r="I43" s="78"/>
      <c r="J43" s="78"/>
      <c r="K43" s="78"/>
      <c r="L43" s="76"/>
      <c r="M43" s="77"/>
    </row>
    <row r="44" spans="1:13" ht="13.5" thickBot="1">
      <c r="A44" s="42"/>
      <c r="B44" s="43"/>
      <c r="D44" s="58"/>
      <c r="E44" s="58"/>
      <c r="F44" s="71"/>
      <c r="G44" s="58"/>
      <c r="H44" s="73"/>
      <c r="I44" s="78"/>
      <c r="J44" s="78"/>
      <c r="K44" s="78"/>
      <c r="L44" s="76"/>
      <c r="M44" s="77"/>
    </row>
    <row r="45" spans="1:13" ht="13.5" thickBot="1">
      <c r="A45" s="42"/>
      <c r="B45" s="43"/>
      <c r="D45" s="58"/>
      <c r="E45" s="58"/>
      <c r="F45" s="71"/>
      <c r="G45" s="58"/>
      <c r="H45" s="73"/>
      <c r="I45" s="78"/>
      <c r="J45" s="78"/>
      <c r="K45" s="78"/>
      <c r="L45" s="76"/>
      <c r="M45" s="77"/>
    </row>
    <row r="46" spans="1:13" ht="13.5" thickBot="1">
      <c r="A46" s="42"/>
      <c r="B46" s="43"/>
      <c r="D46" s="58"/>
      <c r="E46" s="58"/>
      <c r="F46" s="71"/>
      <c r="G46" s="58"/>
      <c r="H46" s="83"/>
      <c r="I46" s="78"/>
      <c r="J46" s="78"/>
      <c r="K46" s="78"/>
      <c r="L46" s="79"/>
      <c r="M46" s="77"/>
    </row>
    <row r="47" spans="1:13" ht="13.5" thickBot="1">
      <c r="A47" s="42"/>
      <c r="B47" s="43"/>
      <c r="D47" s="58"/>
      <c r="E47" s="58"/>
      <c r="F47" s="71"/>
      <c r="G47" s="58"/>
      <c r="H47" s="83"/>
      <c r="I47" s="78"/>
      <c r="J47" s="78"/>
      <c r="K47" s="78"/>
      <c r="L47" s="79"/>
      <c r="M47" s="77"/>
    </row>
    <row r="48" spans="1:13" ht="13.5" thickBot="1">
      <c r="A48" s="42"/>
      <c r="B48" s="43"/>
      <c r="D48" s="58"/>
      <c r="E48" s="58"/>
      <c r="F48" s="71"/>
      <c r="G48" s="58"/>
      <c r="H48" s="73"/>
      <c r="I48" s="78"/>
      <c r="J48" s="78"/>
      <c r="K48" s="78"/>
      <c r="L48" s="79"/>
      <c r="M48" s="77"/>
    </row>
    <row r="49" spans="1:13" ht="13.5" thickBot="1">
      <c r="A49" s="42"/>
      <c r="B49" s="43"/>
      <c r="D49" s="58"/>
      <c r="E49" s="58"/>
      <c r="F49" s="71"/>
      <c r="G49" s="58"/>
      <c r="H49" s="83"/>
      <c r="I49" s="78"/>
      <c r="J49" s="78"/>
      <c r="K49" s="78"/>
      <c r="L49" s="79"/>
      <c r="M49" s="77"/>
    </row>
    <row r="50" spans="1:13" ht="13.5" thickBot="1">
      <c r="A50" s="42"/>
      <c r="B50" s="43"/>
      <c r="D50" s="58"/>
      <c r="E50" s="58"/>
      <c r="F50" s="71"/>
      <c r="G50" s="58"/>
      <c r="H50" s="83"/>
      <c r="I50" s="78"/>
      <c r="J50" s="78"/>
      <c r="K50" s="78"/>
      <c r="L50" s="79"/>
      <c r="M50" s="77"/>
    </row>
    <row r="51" spans="1:13" ht="13.5" thickBot="1">
      <c r="A51" s="42"/>
      <c r="B51" s="43"/>
      <c r="D51" s="58"/>
      <c r="E51" s="58"/>
      <c r="F51" s="71"/>
      <c r="G51" s="58"/>
      <c r="H51" s="73"/>
      <c r="I51" s="78"/>
      <c r="J51" s="78"/>
      <c r="K51" s="78"/>
      <c r="L51" s="79"/>
      <c r="M51" s="77"/>
    </row>
    <row r="52" spans="1:13" ht="13.5" thickBot="1">
      <c r="A52" s="42"/>
      <c r="B52" s="43"/>
      <c r="D52" s="58"/>
      <c r="E52" s="58"/>
      <c r="F52" s="71"/>
      <c r="G52" s="58"/>
      <c r="H52" s="73"/>
      <c r="I52" s="78"/>
      <c r="J52" s="78"/>
      <c r="K52" s="78"/>
      <c r="L52" s="79"/>
      <c r="M52" s="77"/>
    </row>
    <row r="53" spans="1:13" ht="13.5" thickBot="1">
      <c r="A53" s="42"/>
      <c r="B53" s="43"/>
      <c r="D53" s="58"/>
      <c r="E53" s="58"/>
      <c r="F53" s="71"/>
      <c r="G53" s="58"/>
      <c r="H53" s="83"/>
      <c r="I53" s="78"/>
      <c r="J53" s="78"/>
      <c r="K53" s="78"/>
      <c r="L53" s="79"/>
      <c r="M53" s="77"/>
    </row>
    <row r="54" spans="1:13" ht="13.5" thickBot="1">
      <c r="A54" s="42"/>
      <c r="B54" s="43"/>
      <c r="D54" s="58"/>
      <c r="E54" s="58"/>
      <c r="F54" s="71"/>
      <c r="G54" s="58"/>
      <c r="H54" s="73"/>
      <c r="I54" s="78"/>
      <c r="J54" s="78"/>
      <c r="K54" s="78"/>
      <c r="L54" s="79"/>
      <c r="M54" s="77"/>
    </row>
    <row r="55" spans="1:13" ht="13.5" thickBot="1">
      <c r="A55" s="42"/>
      <c r="B55" s="43"/>
      <c r="D55" s="58"/>
      <c r="E55" s="58"/>
      <c r="F55" s="71"/>
      <c r="G55" s="58"/>
      <c r="H55" s="83"/>
      <c r="I55" s="78"/>
      <c r="J55" s="78"/>
      <c r="K55" s="78"/>
      <c r="L55" s="79"/>
      <c r="M55" s="77"/>
    </row>
    <row r="56" spans="1:13" ht="13.5" thickBot="1">
      <c r="A56" s="42"/>
      <c r="B56" s="43"/>
      <c r="D56" s="58"/>
      <c r="E56" s="58"/>
      <c r="F56" s="71"/>
      <c r="G56" s="58"/>
      <c r="H56" s="83"/>
      <c r="I56" s="78"/>
      <c r="J56" s="78"/>
      <c r="K56" s="78"/>
      <c r="L56" s="79"/>
      <c r="M56" s="77"/>
    </row>
    <row r="57" spans="1:13" ht="13.5" thickBot="1">
      <c r="A57" s="42"/>
      <c r="B57" s="43"/>
      <c r="D57" s="58"/>
      <c r="E57" s="58"/>
      <c r="F57" s="71"/>
      <c r="G57" s="58"/>
      <c r="H57" s="83"/>
      <c r="I57" s="78"/>
      <c r="J57" s="78"/>
      <c r="K57" s="78"/>
      <c r="L57" s="79"/>
      <c r="M57" s="77"/>
    </row>
    <row r="58" spans="1:13" ht="13.5" thickBot="1">
      <c r="A58" s="42"/>
      <c r="B58" s="43"/>
      <c r="D58" s="58"/>
      <c r="E58" s="58"/>
      <c r="F58" s="71"/>
      <c r="G58" s="58"/>
      <c r="H58" s="73"/>
      <c r="I58" s="78"/>
      <c r="J58" s="78"/>
      <c r="K58" s="78"/>
      <c r="L58" s="79"/>
      <c r="M58" s="77"/>
    </row>
    <row r="59" spans="1:13" ht="13.5" thickBot="1">
      <c r="A59" s="42"/>
      <c r="B59" s="43"/>
      <c r="D59" s="57"/>
      <c r="E59" s="58"/>
      <c r="F59" s="71"/>
      <c r="G59" s="58"/>
      <c r="H59" s="73"/>
      <c r="I59" s="78"/>
      <c r="J59" s="78"/>
      <c r="K59" s="78"/>
      <c r="L59" s="79"/>
      <c r="M59" s="77"/>
    </row>
    <row r="60" spans="1:13" ht="13.5" thickBot="1">
      <c r="A60" s="42"/>
      <c r="B60" s="43"/>
      <c r="D60" s="61"/>
      <c r="E60" s="57"/>
      <c r="F60" s="71"/>
      <c r="G60" s="58"/>
      <c r="H60" s="83"/>
      <c r="I60" s="78"/>
      <c r="J60" s="78"/>
      <c r="K60" s="78"/>
      <c r="L60" s="79"/>
      <c r="M60" s="77"/>
    </row>
    <row r="61" spans="1:13" ht="13.5" thickBot="1">
      <c r="A61" s="42"/>
      <c r="B61" s="43"/>
      <c r="D61" s="57"/>
      <c r="E61" s="61"/>
      <c r="F61" s="71"/>
      <c r="G61" s="58"/>
      <c r="H61" s="83"/>
      <c r="I61" s="78"/>
      <c r="J61" s="78"/>
      <c r="K61" s="78"/>
      <c r="L61" s="79"/>
      <c r="M61" s="77"/>
    </row>
    <row r="62" spans="1:13" ht="13.5" thickBot="1">
      <c r="A62" s="42"/>
      <c r="B62" s="43"/>
      <c r="D62" s="58"/>
      <c r="E62" s="58"/>
      <c r="F62" s="71"/>
      <c r="G62" s="58"/>
      <c r="H62" s="73"/>
      <c r="I62" s="78"/>
      <c r="J62" s="78"/>
      <c r="K62" s="78"/>
      <c r="L62" s="79"/>
      <c r="M62" s="77"/>
    </row>
    <row r="63" spans="1:13" ht="13.5" thickBot="1">
      <c r="A63" s="42"/>
      <c r="B63" s="43"/>
      <c r="D63" s="58"/>
      <c r="E63" s="58"/>
      <c r="F63" s="71"/>
      <c r="G63" s="58"/>
      <c r="H63" s="73"/>
      <c r="I63" s="78"/>
      <c r="J63" s="78"/>
      <c r="K63" s="78"/>
      <c r="L63" s="79"/>
      <c r="M63" s="77"/>
    </row>
    <row r="64" spans="1:13" ht="13.5" thickBot="1">
      <c r="A64" s="42"/>
      <c r="B64" s="43"/>
      <c r="D64" s="58"/>
      <c r="E64" s="58"/>
      <c r="F64" s="71"/>
      <c r="G64" s="58"/>
      <c r="H64" s="73"/>
      <c r="I64" s="78"/>
      <c r="J64" s="78"/>
      <c r="K64" s="78"/>
      <c r="L64" s="79"/>
      <c r="M64" s="77"/>
    </row>
    <row r="65" spans="1:13" ht="13.5" thickBot="1">
      <c r="A65" s="42"/>
      <c r="B65" s="43"/>
      <c r="D65" s="58"/>
      <c r="E65" s="61"/>
      <c r="F65" s="71"/>
      <c r="G65" s="58"/>
      <c r="H65" s="83"/>
      <c r="I65" s="78"/>
      <c r="J65" s="78"/>
      <c r="K65" s="78"/>
      <c r="L65" s="79"/>
      <c r="M65" s="77"/>
    </row>
    <row r="66" spans="1:13" ht="13.5" thickBot="1">
      <c r="A66" s="42"/>
      <c r="B66" s="43"/>
      <c r="D66" s="58"/>
      <c r="E66" s="58"/>
      <c r="F66" s="71"/>
      <c r="G66" s="58"/>
      <c r="H66" s="73"/>
      <c r="I66" s="78"/>
      <c r="J66" s="78"/>
      <c r="K66" s="78"/>
      <c r="L66" s="79"/>
      <c r="M66" s="77"/>
    </row>
    <row r="67" spans="1:13" ht="13.5" thickBot="1">
      <c r="A67" s="42"/>
      <c r="B67" s="43"/>
      <c r="D67" s="58"/>
      <c r="E67" s="58"/>
      <c r="F67" s="71"/>
      <c r="G67" s="58"/>
      <c r="H67" s="83"/>
      <c r="I67" s="78"/>
      <c r="J67" s="78"/>
      <c r="K67" s="78"/>
      <c r="L67" s="79"/>
      <c r="M67" s="77"/>
    </row>
    <row r="68" spans="1:13" ht="13.5" thickBot="1">
      <c r="A68" s="42"/>
      <c r="B68" s="43"/>
      <c r="D68" s="58"/>
      <c r="E68" s="58"/>
      <c r="F68" s="71"/>
      <c r="G68" s="58"/>
      <c r="H68" s="73"/>
      <c r="I68" s="78"/>
      <c r="J68" s="78"/>
      <c r="K68" s="78"/>
      <c r="L68" s="79"/>
      <c r="M68" s="77"/>
    </row>
    <row r="69" spans="1:13" ht="13.5" thickBot="1">
      <c r="A69" s="42"/>
      <c r="B69" s="43"/>
      <c r="D69" s="58"/>
      <c r="E69" s="58"/>
      <c r="F69" s="71"/>
      <c r="G69" s="58"/>
      <c r="H69" s="73"/>
      <c r="I69" s="78"/>
      <c r="J69" s="78"/>
      <c r="K69" s="78"/>
      <c r="L69" s="79"/>
      <c r="M69" s="77"/>
    </row>
    <row r="70" spans="1:13" ht="13.5" thickBot="1">
      <c r="A70" s="42"/>
      <c r="B70" s="43"/>
      <c r="D70" s="58"/>
      <c r="E70" s="58"/>
      <c r="F70" s="71"/>
      <c r="G70" s="58"/>
      <c r="H70" s="73"/>
      <c r="I70" s="78"/>
      <c r="J70" s="78"/>
      <c r="K70" s="78"/>
      <c r="L70" s="79"/>
      <c r="M70" s="77"/>
    </row>
    <row r="71" spans="1:13" ht="13.5" thickBot="1">
      <c r="A71" s="42"/>
      <c r="B71" s="43"/>
      <c r="D71" s="58"/>
      <c r="E71" s="58"/>
      <c r="F71" s="71"/>
      <c r="G71" s="58"/>
      <c r="H71" s="73"/>
      <c r="I71" s="78"/>
      <c r="J71" s="78"/>
      <c r="K71" s="78"/>
      <c r="L71" s="79"/>
      <c r="M71" s="77"/>
    </row>
    <row r="72" spans="1:13" ht="13.5" thickBot="1">
      <c r="A72" s="42"/>
      <c r="B72" s="43"/>
      <c r="D72" s="58"/>
      <c r="E72" s="58"/>
      <c r="F72" s="71"/>
      <c r="G72" s="58"/>
      <c r="H72" s="73"/>
      <c r="I72" s="78"/>
      <c r="J72" s="78"/>
      <c r="K72" s="78"/>
      <c r="L72" s="79"/>
      <c r="M72" s="77"/>
    </row>
    <row r="73" spans="1:13" ht="13.5" thickBot="1">
      <c r="A73" s="42"/>
      <c r="B73" s="43"/>
      <c r="D73" s="58"/>
      <c r="E73" s="58"/>
      <c r="F73" s="71"/>
      <c r="G73" s="58"/>
      <c r="H73" s="73"/>
      <c r="I73" s="78"/>
      <c r="J73" s="78"/>
      <c r="K73" s="78"/>
      <c r="L73" s="79"/>
      <c r="M73" s="77"/>
    </row>
    <row r="74" spans="1:13" ht="13.5" thickBot="1">
      <c r="A74" s="42"/>
      <c r="B74" s="43"/>
      <c r="D74" s="57"/>
      <c r="E74" s="58"/>
      <c r="F74" s="71"/>
      <c r="G74" s="58"/>
      <c r="H74" s="83"/>
      <c r="I74" s="78"/>
      <c r="J74" s="78"/>
      <c r="K74" s="78"/>
      <c r="L74" s="79"/>
      <c r="M74" s="77"/>
    </row>
    <row r="75" spans="1:13" ht="13.5" thickBot="1">
      <c r="A75" s="42"/>
      <c r="B75" s="43"/>
      <c r="D75" s="57"/>
      <c r="E75" s="58"/>
      <c r="F75" s="71"/>
      <c r="G75" s="58"/>
      <c r="H75" s="83"/>
      <c r="I75" s="78"/>
      <c r="J75" s="78"/>
      <c r="K75" s="78"/>
      <c r="L75" s="79"/>
      <c r="M75" s="77"/>
    </row>
    <row r="76" spans="1:13" ht="13.5" thickBot="1">
      <c r="A76" s="42"/>
      <c r="B76" s="43"/>
      <c r="D76" s="59"/>
      <c r="E76" s="58"/>
      <c r="F76" s="71"/>
      <c r="G76" s="58"/>
      <c r="H76" s="83"/>
      <c r="I76" s="78"/>
      <c r="J76" s="78"/>
      <c r="K76" s="78"/>
      <c r="L76" s="79"/>
      <c r="M76" s="77"/>
    </row>
    <row r="77" spans="1:13" ht="13.5" thickBot="1">
      <c r="A77" s="42"/>
      <c r="B77" s="43"/>
      <c r="D77" s="59"/>
      <c r="E77" s="58"/>
      <c r="F77" s="71"/>
      <c r="G77" s="58"/>
      <c r="H77" s="83"/>
      <c r="I77" s="78"/>
      <c r="J77" s="78"/>
      <c r="K77" s="78"/>
      <c r="L77" s="79"/>
      <c r="M77" s="77"/>
    </row>
    <row r="78" spans="1:13" ht="13.5" thickBot="1">
      <c r="A78" s="42"/>
      <c r="B78" s="43"/>
      <c r="D78" s="59"/>
      <c r="E78" s="58"/>
      <c r="F78" s="71"/>
      <c r="G78" s="58"/>
      <c r="H78" s="83"/>
      <c r="I78" s="78"/>
      <c r="J78" s="78"/>
      <c r="K78" s="78"/>
      <c r="L78" s="79"/>
      <c r="M78" s="77"/>
    </row>
    <row r="79" spans="1:13" ht="13.5" thickBot="1">
      <c r="A79" s="42"/>
      <c r="B79" s="43"/>
      <c r="D79" s="59"/>
      <c r="E79" s="58"/>
      <c r="F79" s="71"/>
      <c r="G79" s="58"/>
      <c r="H79" s="83"/>
      <c r="I79" s="78"/>
      <c r="J79" s="78"/>
      <c r="K79" s="78"/>
      <c r="L79" s="79"/>
      <c r="M79" s="77"/>
    </row>
    <row r="80" spans="1:13" ht="13.5" thickBot="1">
      <c r="A80" s="42"/>
      <c r="B80" s="43"/>
      <c r="D80" s="59"/>
      <c r="E80" s="58"/>
      <c r="F80" s="71"/>
      <c r="G80" s="58"/>
      <c r="H80" s="83"/>
      <c r="I80" s="78"/>
      <c r="J80" s="78"/>
      <c r="K80" s="78"/>
      <c r="L80" s="79"/>
      <c r="M80" s="77"/>
    </row>
    <row r="81" spans="1:13" ht="13.5" thickBot="1">
      <c r="A81" s="42"/>
      <c r="B81" s="43"/>
      <c r="D81" s="59"/>
      <c r="E81" s="58"/>
      <c r="F81" s="71"/>
      <c r="G81" s="58"/>
      <c r="H81" s="83"/>
      <c r="I81" s="78"/>
      <c r="J81" s="78"/>
      <c r="K81" s="78"/>
      <c r="L81" s="79"/>
      <c r="M81" s="77"/>
    </row>
    <row r="82" spans="1:13" ht="13.5" thickBot="1">
      <c r="A82" s="42"/>
      <c r="B82" s="43"/>
      <c r="D82" s="59"/>
      <c r="E82" s="58"/>
      <c r="F82" s="71"/>
      <c r="G82" s="58"/>
      <c r="H82" s="83"/>
      <c r="I82" s="78"/>
      <c r="J82" s="78"/>
      <c r="K82" s="78"/>
      <c r="L82" s="79"/>
      <c r="M82" s="77"/>
    </row>
    <row r="83" spans="1:13" ht="13.5" thickBot="1">
      <c r="A83" s="42"/>
      <c r="B83" s="43"/>
      <c r="D83" s="59"/>
      <c r="E83" s="58"/>
      <c r="F83" s="71"/>
      <c r="G83" s="58"/>
      <c r="H83" s="83"/>
      <c r="I83" s="78"/>
      <c r="J83" s="78"/>
      <c r="K83" s="78"/>
      <c r="L83" s="79"/>
      <c r="M83" s="77"/>
    </row>
    <row r="84" spans="1:13" ht="13.5" thickBot="1">
      <c r="A84" s="42"/>
      <c r="B84" s="43"/>
      <c r="D84" s="59"/>
      <c r="E84" s="58"/>
      <c r="F84" s="71"/>
      <c r="G84" s="58"/>
      <c r="H84" s="83"/>
      <c r="I84" s="78"/>
      <c r="J84" s="78"/>
      <c r="K84" s="78"/>
      <c r="L84" s="79"/>
      <c r="M84" s="77"/>
    </row>
    <row r="85" spans="1:13" ht="13.5" thickBot="1">
      <c r="A85" s="42"/>
      <c r="B85" s="43"/>
      <c r="D85" s="59"/>
      <c r="E85" s="58"/>
      <c r="F85" s="71"/>
      <c r="G85" s="58"/>
      <c r="H85" s="83"/>
      <c r="I85" s="78"/>
      <c r="J85" s="78"/>
      <c r="K85" s="78"/>
      <c r="L85" s="79"/>
      <c r="M85" s="77"/>
    </row>
    <row r="86" spans="1:13" ht="13.5" thickBot="1">
      <c r="A86" s="42"/>
      <c r="B86" s="43"/>
      <c r="D86" s="59"/>
      <c r="E86" s="58"/>
      <c r="F86" s="71"/>
      <c r="G86" s="58"/>
      <c r="H86" s="73"/>
      <c r="I86" s="78"/>
      <c r="J86" s="78"/>
      <c r="K86" s="78"/>
      <c r="L86" s="79"/>
      <c r="M86" s="77"/>
    </row>
    <row r="87" spans="1:13" ht="13.5" thickBot="1">
      <c r="A87" s="42"/>
      <c r="B87" s="43"/>
      <c r="D87" s="60"/>
      <c r="F87" s="54"/>
    </row>
    <row r="88" spans="1:13">
      <c r="A88" s="42"/>
      <c r="B88" s="43"/>
      <c r="F88" s="54"/>
    </row>
    <row r="89" spans="1:13">
      <c r="A89" s="42"/>
      <c r="B89" s="43"/>
      <c r="F89" s="54"/>
    </row>
    <row r="90" spans="1:13">
      <c r="A90" s="42"/>
      <c r="B90" s="43"/>
      <c r="F90" s="54"/>
    </row>
    <row r="91" spans="1:13">
      <c r="A91" s="42"/>
      <c r="B91" s="43"/>
      <c r="F91" s="54"/>
    </row>
  </sheetData>
  <dataValidations count="1">
    <dataValidation type="list" allowBlank="1" showInputMessage="1" showErrorMessage="1" sqref="C2:C32" xr:uid="{87499D4D-ACC3-4CD8-8807-5DF1827879FA}">
      <formula1>"C,E,W"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S128ValidationChecks metadata</vt:lpstr>
      <vt:lpstr>S128Checks</vt:lpstr>
      <vt:lpstr>DeletedS128Checks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Helen Hahessy</dc:creator>
  <cp:lastModifiedBy>Jens Søe Christiansen</cp:lastModifiedBy>
  <dcterms:created xsi:type="dcterms:W3CDTF">2024-06-25T17:20:00Z</dcterms:created>
  <dcterms:modified xsi:type="dcterms:W3CDTF">2026-03-30T10:07:52Z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A2947D3279EC4CC0AF370B4689C04015_13</vt:lpwstr>
  </property>
  <property fmtid="{D5CDD505-2E9C-101B-9397-08002B2CF9AE}" pid="3" name="KSOProductBuildVer">
    <vt:lpwstr>2052-11.8.2.10534</vt:lpwstr>
  </property>
</Properties>
</file>